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4CEE354D-A00A-4C42-97FA-AB505941314B}" xr6:coauthVersionLast="47" xr6:coauthVersionMax="47" xr10:uidLastSave="{00000000-0000-0000-0000-000000000000}"/>
  <bookViews>
    <workbookView xWindow="-108" yWindow="-108" windowWidth="23256" windowHeight="12576" xr2:uid="{00000000-000D-0000-FFFF-FFFF00000000}"/>
  </bookViews>
  <sheets>
    <sheet name="Dashboard" sheetId="1" r:id="rId1"/>
  </sheets>
  <definedNames>
    <definedName name="Slicer_region">#N/A</definedName>
  </definedNames>
  <calcPr calcId="191029"/>
  <pivotCaches>
    <pivotCache cacheId="7"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4" i="1" l="1"/>
  <c r="I4" i="1"/>
  <c r="E4" i="1"/>
  <c r="B4" i="1"/>
</calcChain>
</file>

<file path=xl/sharedStrings.xml><?xml version="1.0" encoding="utf-8"?>
<sst xmlns="http://schemas.openxmlformats.org/spreadsheetml/2006/main" count="53" uniqueCount="42">
  <si>
    <t>sale month</t>
  </si>
  <si>
    <t>Total uints sold</t>
  </si>
  <si>
    <t>gross revenue</t>
  </si>
  <si>
    <t>gross profit</t>
  </si>
  <si>
    <t>Profit Margin %</t>
  </si>
  <si>
    <t>Status</t>
  </si>
  <si>
    <t>product id</t>
  </si>
  <si>
    <t>product name</t>
  </si>
  <si>
    <t>category</t>
  </si>
  <si>
    <t>total unit sold in 30days</t>
  </si>
  <si>
    <t>store name</t>
  </si>
  <si>
    <t>region</t>
  </si>
  <si>
    <t>Total revenue</t>
  </si>
  <si>
    <t>Target Revenue</t>
  </si>
  <si>
    <t>Target Variance</t>
  </si>
  <si>
    <t>High</t>
  </si>
  <si>
    <t>Laptop</t>
  </si>
  <si>
    <t>Electronics</t>
  </si>
  <si>
    <t>Metro Appliances</t>
  </si>
  <si>
    <t>South</t>
  </si>
  <si>
    <t>Wireless Mouse</t>
  </si>
  <si>
    <t>Central Tech</t>
  </si>
  <si>
    <t>North</t>
  </si>
  <si>
    <t>Desk Chair</t>
  </si>
  <si>
    <t>Furniture</t>
  </si>
  <si>
    <t>Westside Hub</t>
  </si>
  <si>
    <t>West</t>
  </si>
  <si>
    <t>Mechanical Keyboard</t>
  </si>
  <si>
    <t>Urban Style</t>
  </si>
  <si>
    <t>East</t>
  </si>
  <si>
    <t xml:space="preserve">Total Sales </t>
  </si>
  <si>
    <t>Coffee Table</t>
  </si>
  <si>
    <t>Total Profit</t>
  </si>
  <si>
    <t>Row Labels</t>
  </si>
  <si>
    <t>Sum of Total revenue</t>
  </si>
  <si>
    <t>Avg Margin</t>
  </si>
  <si>
    <t>Low Stock Alerts:</t>
  </si>
  <si>
    <t>Grand Total</t>
  </si>
  <si>
    <t xml:space="preserve">  </t>
  </si>
  <si>
    <t xml:space="preserve"> </t>
  </si>
  <si>
    <t>RETAIL SALES &amp; INVENTORY PERFORMANCE DASHBOARD</t>
  </si>
  <si>
    <t>Sum of Target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</si>
</sst>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5" formatCode="_ [$₹-4009]\ * #,##0.00_ ;_ [$₹-4009]\ * \-#,##0.00_ ;_ [$₹-4009]\ * &quot;-&quot;??_ ;_ @_ "/>
    <numFmt numFmtId="179" formatCode="[$₹-439]#,##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3"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16" fontId="0" fillId="0" borderId="0" xfId="0" applyNumberFormat="1"/>
    <xf numFmtId="9" fontId="0" fillId="0" borderId="0" xfId="0" applyNumberFormat="1"/>
    <xf numFmtId="0" fontId="0" fillId="33" borderId="0" xfId="0" applyFill="1"/>
    <xf numFmtId="165" fontId="0" fillId="0" borderId="0" xfId="0" applyNumberFormat="1"/>
    <xf numFmtId="0" fontId="0" fillId="0" borderId="0" xfId="0" applyAlignment="1">
      <alignment horizontal="left"/>
    </xf>
    <xf numFmtId="0" fontId="0" fillId="0" borderId="0" xfId="0" applyNumberFormat="1"/>
    <xf numFmtId="0" fontId="0" fillId="0" borderId="0" xfId="0" applyAlignment="1">
      <alignment horizontal="left" indent="1"/>
    </xf>
    <xf numFmtId="0" fontId="18" fillId="33" borderId="0" xfId="0" applyFont="1" applyFill="1" applyAlignment="1">
      <alignment horizontal="center"/>
    </xf>
    <xf numFmtId="0" fontId="13" fillId="33" borderId="10" xfId="0" applyFont="1" applyFill="1" applyBorder="1" applyAlignment="1">
      <alignment horizontal="center"/>
    </xf>
    <xf numFmtId="0" fontId="13" fillId="33" borderId="0" xfId="0" applyFont="1" applyFill="1" applyBorder="1" applyAlignment="1">
      <alignment horizontal="center"/>
    </xf>
    <xf numFmtId="179" fontId="16" fillId="34" borderId="0" xfId="42" applyNumberFormat="1" applyFont="1" applyFill="1" applyAlignment="1">
      <alignment horizontal="center"/>
    </xf>
    <xf numFmtId="10" fontId="16" fillId="34" borderId="0" xfId="43" applyNumberFormat="1" applyFont="1" applyFill="1" applyAlignment="1">
      <alignment horizontal="center"/>
    </xf>
    <xf numFmtId="2" fontId="16" fillId="34" borderId="0" xfId="43" applyNumberFormat="1" applyFont="1" applyFill="1" applyAlignment="1">
      <alignment horizontal="center"/>
    </xf>
    <xf numFmtId="0" fontId="17" fillId="33" borderId="0" xfId="0" applyFon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2">
    <dxf>
      <font>
        <color rgb="FF9C0006"/>
      </font>
      <fill>
        <patternFill>
          <bgColor rgb="FFFFC7CE"/>
        </patternFill>
      </fill>
    </dxf>
    <dxf>
      <font>
        <color theme="0"/>
      </font>
    </dxf>
    <dxf>
      <font>
        <color theme="0"/>
      </font>
    </dxf>
    <dxf>
      <fill>
        <patternFill patternType="solid">
          <bgColor theme="4" tint="-0.499984740745262"/>
        </patternFill>
      </fill>
    </dxf>
    <dxf>
      <fill>
        <patternFill patternType="solid">
          <bgColor theme="4" tint="-0.499984740745262"/>
        </patternFill>
      </fill>
    </dxf>
    <dxf>
      <numFmt numFmtId="165" formatCode="_ [$₹-4009]\ * #,##0.00_ ;_ [$₹-4009]\ * \-#,##0.00_ ;_ [$₹-4009]\ * &quot;-&quot;??_ ;_ @_ "/>
    </dxf>
    <dxf>
      <numFmt numFmtId="165" formatCode="_ [$₹-4009]\ * #,##0.00_ ;_ [$₹-4009]\ * \-#,##0.00_ ;_ [$₹-4009]\ * &quot;-&quot;??_ ;_ @_ "/>
    </dxf>
    <dxf>
      <fill>
        <patternFill patternType="solid">
          <fgColor indexed="64"/>
          <bgColor theme="4" tint="-0.499984740745262"/>
        </patternFill>
      </fill>
    </dxf>
    <dxf>
      <fill>
        <patternFill patternType="solid">
          <fgColor indexed="64"/>
          <bgColor theme="4" tint="-0.499984740745262"/>
        </patternFill>
      </fill>
    </dxf>
    <dxf>
      <numFmt numFmtId="13" formatCode="0%"/>
    </dxf>
    <dxf>
      <numFmt numFmtId="21" formatCode="dd/mmm"/>
    </dxf>
    <dxf>
      <fill>
        <patternFill patternType="solid">
          <fgColor indexed="64"/>
          <bgColor theme="4"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[Monthly_Sales_Data.xlsx]Dashboard!PivotTable2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Revenue</a:t>
            </a:r>
            <a:r>
              <a:rPr lang="en-US" baseline="0">
                <a:solidFill>
                  <a:schemeClr val="bg1"/>
                </a:solidFill>
              </a:rPr>
              <a:t> by store</a:t>
            </a:r>
            <a:endParaRPr lang="en-US">
              <a:solidFill>
                <a:schemeClr val="bg1"/>
              </a:solidFill>
            </a:endParaRPr>
          </a:p>
        </c:rich>
      </c:tx>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pivotFmt>
    </c:pivotFmts>
    <c:plotArea>
      <c:layout/>
      <c:barChart>
        <c:barDir val="col"/>
        <c:grouping val="clustered"/>
        <c:varyColors val="0"/>
        <c:ser>
          <c:idx val="0"/>
          <c:order val="0"/>
          <c:tx>
            <c:strRef>
              <c:f>Dashboard!$N$12</c:f>
              <c:strCache>
                <c:ptCount val="1"/>
                <c:pt idx="0">
                  <c:v>Sum of Target Revenue</c:v>
                </c:pt>
              </c:strCache>
            </c:strRef>
          </c:tx>
          <c:spPr>
            <a:solidFill>
              <a:schemeClr val="accent1">
                <a:lumMod val="50000"/>
              </a:schemeClr>
            </a:solidFill>
            <a:ln>
              <a:noFill/>
            </a:ln>
            <a:effectLst/>
          </c:spPr>
          <c:invertIfNegative val="0"/>
          <c:cat>
            <c:multiLvlStrRef>
              <c:f>Dashboard!$M$13:$M$20</c:f>
              <c:multiLvlStrCache>
                <c:ptCount val="4"/>
                <c:lvl>
                  <c:pt idx="0">
                    <c:v>Urban Style</c:v>
                  </c:pt>
                  <c:pt idx="1">
                    <c:v>Central Tech</c:v>
                  </c:pt>
                  <c:pt idx="3">
                    <c:v>Westside Hub</c:v>
                  </c:pt>
                </c:lvl>
                <c:lvl>
                  <c:pt idx="0">
                    <c:v>East</c:v>
                  </c:pt>
                  <c:pt idx="1">
                    <c:v>North</c:v>
                  </c:pt>
                  <c:pt idx="2">
                    <c:v>South</c:v>
                  </c:pt>
                  <c:pt idx="3">
                    <c:v>West</c:v>
                  </c:pt>
                </c:lvl>
              </c:multiLvlStrCache>
            </c:multiLvlStrRef>
          </c:cat>
          <c:val>
            <c:numRef>
              <c:f>Dashboard!$N$13:$N$20</c:f>
              <c:numCache>
                <c:formatCode>General</c:formatCode>
                <c:ptCount val="4"/>
                <c:pt idx="0">
                  <c:v>250000</c:v>
                </c:pt>
                <c:pt idx="1">
                  <c:v>250000</c:v>
                </c:pt>
                <c:pt idx="2">
                  <c:v>250000</c:v>
                </c:pt>
                <c:pt idx="3">
                  <c:v>250000</c:v>
                </c:pt>
              </c:numCache>
            </c:numRef>
          </c:val>
          <c:extLst>
            <c:ext xmlns:c16="http://schemas.microsoft.com/office/drawing/2014/chart" uri="{C3380CC4-5D6E-409C-BE32-E72D297353CC}">
              <c16:uniqueId val="{00000003-CA4B-4B1B-86BC-0B5C56241A19}"/>
            </c:ext>
          </c:extLst>
        </c:ser>
        <c:ser>
          <c:idx val="1"/>
          <c:order val="1"/>
          <c:tx>
            <c:strRef>
              <c:f>Dashboard!$O$12</c:f>
              <c:strCache>
                <c:ptCount val="1"/>
                <c:pt idx="0">
                  <c:v>Sum of Total revenue</c:v>
                </c:pt>
              </c:strCache>
            </c:strRef>
          </c:tx>
          <c:spPr>
            <a:solidFill>
              <a:schemeClr val="tx2">
                <a:lumMod val="40000"/>
                <a:lumOff val="60000"/>
              </a:schemeClr>
            </a:solidFill>
            <a:ln>
              <a:noFill/>
            </a:ln>
            <a:effectLst/>
          </c:spPr>
          <c:invertIfNegative val="0"/>
          <c:cat>
            <c:multiLvlStrRef>
              <c:f>Dashboard!$M$13:$M$20</c:f>
              <c:multiLvlStrCache>
                <c:ptCount val="4"/>
                <c:lvl>
                  <c:pt idx="0">
                    <c:v>Urban Style</c:v>
                  </c:pt>
                  <c:pt idx="1">
                    <c:v>Central Tech</c:v>
                  </c:pt>
                  <c:pt idx="3">
                    <c:v>Westside Hub</c:v>
                  </c:pt>
                </c:lvl>
                <c:lvl>
                  <c:pt idx="0">
                    <c:v>East</c:v>
                  </c:pt>
                  <c:pt idx="1">
                    <c:v>North</c:v>
                  </c:pt>
                  <c:pt idx="2">
                    <c:v>South</c:v>
                  </c:pt>
                  <c:pt idx="3">
                    <c:v>West</c:v>
                  </c:pt>
                </c:lvl>
              </c:multiLvlStrCache>
            </c:multiLvlStrRef>
          </c:cat>
          <c:val>
            <c:numRef>
              <c:f>Dashboard!$O$13:$O$20</c:f>
              <c:numCache>
                <c:formatCode>General</c:formatCode>
                <c:ptCount val="4"/>
                <c:pt idx="0">
                  <c:v>40000</c:v>
                </c:pt>
                <c:pt idx="1">
                  <c:v>215500</c:v>
                </c:pt>
                <c:pt idx="2">
                  <c:v>262700</c:v>
                </c:pt>
                <c:pt idx="3">
                  <c:v>146000</c:v>
                </c:pt>
              </c:numCache>
            </c:numRef>
          </c:val>
          <c:extLst>
            <c:ext xmlns:c16="http://schemas.microsoft.com/office/drawing/2014/chart" uri="{C3380CC4-5D6E-409C-BE32-E72D297353CC}">
              <c16:uniqueId val="{00000005-CA4B-4B1B-86BC-0B5C56241A19}"/>
            </c:ext>
          </c:extLst>
        </c:ser>
        <c:dLbls>
          <c:showLegendKey val="0"/>
          <c:showVal val="0"/>
          <c:showCatName val="0"/>
          <c:showSerName val="0"/>
          <c:showPercent val="0"/>
          <c:showBubbleSize val="0"/>
        </c:dLbls>
        <c:gapWidth val="150"/>
        <c:axId val="1134953280"/>
        <c:axId val="1134951200"/>
      </c:barChart>
      <c:catAx>
        <c:axId val="1134953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34951200"/>
        <c:crosses val="autoZero"/>
        <c:auto val="1"/>
        <c:lblAlgn val="ctr"/>
        <c:lblOffset val="100"/>
        <c:noMultiLvlLbl val="0"/>
      </c:catAx>
      <c:valAx>
        <c:axId val="113495120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34953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426720</xdr:colOff>
      <xdr:row>9</xdr:row>
      <xdr:rowOff>38100</xdr:rowOff>
    </xdr:from>
    <xdr:to>
      <xdr:col>5</xdr:col>
      <xdr:colOff>182880</xdr:colOff>
      <xdr:row>26</xdr:row>
      <xdr:rowOff>160020</xdr:rowOff>
    </xdr:to>
    <xdr:graphicFrame macro="">
      <xdr:nvGraphicFramePr>
        <xdr:cNvPr id="3" name="Chart 2">
          <a:extLst>
            <a:ext uri="{FF2B5EF4-FFF2-40B4-BE49-F238E27FC236}">
              <a16:creationId xmlns:a16="http://schemas.microsoft.com/office/drawing/2014/main" id="{90BA0269-E448-485F-A5D0-71E04BA1A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22860</xdr:colOff>
      <xdr:row>13</xdr:row>
      <xdr:rowOff>7621</xdr:rowOff>
    </xdr:from>
    <xdr:to>
      <xdr:col>9</xdr:col>
      <xdr:colOff>556260</xdr:colOff>
      <xdr:row>20</xdr:row>
      <xdr:rowOff>144781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BBF7E33B-1FA2-46D7-82F6-AA2E8EAA39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90360" y="2506981"/>
              <a:ext cx="182880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6.596482638888" createdVersion="7" refreshedVersion="7" minRefreshableVersion="3" recordCount="4" xr:uid="{00000000-000A-0000-FFFF-FFFF07000000}">
  <cacheSource type="worksheet">
    <worksheetSource name="Table3"/>
  </cacheSource>
  <cacheFields count="5">
    <cacheField name="store name" numFmtId="0">
      <sharedItems count="4">
        <s v="Metro Appliances"/>
        <s v="Central Tech"/>
        <s v="Westside Hub"/>
        <s v="Urban Style"/>
      </sharedItems>
    </cacheField>
    <cacheField name="region" numFmtId="0">
      <sharedItems count="4">
        <s v="South"/>
        <s v="North"/>
        <s v="West"/>
        <s v="East"/>
      </sharedItems>
    </cacheField>
    <cacheField name="Total revenue" numFmtId="165">
      <sharedItems containsSemiMixedTypes="0" containsString="0" containsNumber="1" containsInteger="1" minValue="40000" maxValue="262700"/>
    </cacheField>
    <cacheField name="Target Revenue" numFmtId="165">
      <sharedItems containsSemiMixedTypes="0" containsString="0" containsNumber="1" containsInteger="1" minValue="250000" maxValue="250000"/>
    </cacheField>
    <cacheField name="Target Variance" numFmtId="0">
      <sharedItems containsSemiMixedTypes="0" containsString="0" containsNumber="1" containsInteger="1" minValue="-210000" maxValue="12700"/>
    </cacheField>
  </cacheFields>
  <extLst>
    <ext xmlns:x14="http://schemas.microsoft.com/office/spreadsheetml/2009/9/main" uri="{725AE2AE-9491-48be-B2B4-4EB974FC3084}">
      <x14:pivotCacheDefinition pivotCacheId="831974893"/>
    </ext>
  </extLst>
</pivotCacheDefinition>
</file>

<file path=xl/pivotCache/pivotCacheRecords1.xml><?xml version="1.0" encoding="utf-8"?>
<pivotCacheRecords xmlns="http://schemas.openxmlformats.org/spreadsheetml/2006/main" xmlns:r="http://schemas.openxmlformats.org/officeDocument/2006/relationships" count="4">
  <r>
    <x v="0"/>
    <x v="0"/>
    <n v="262700"/>
    <n v="250000"/>
    <n v="12700"/>
  </r>
  <r>
    <x v="1"/>
    <x v="1"/>
    <n v="215500"/>
    <n v="250000"/>
    <n v="-34500"/>
  </r>
  <r>
    <x v="2"/>
    <x v="2"/>
    <n v="146000"/>
    <n v="250000"/>
    <n v="-104000"/>
  </r>
  <r>
    <x v="3"/>
    <x v="3"/>
    <n v="40000"/>
    <n v="250000"/>
    <n v="-2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M12:O20" firstHeaderRow="0" firstDataRow="1" firstDataCol="1"/>
  <pivotFields count="5">
    <pivotField axis="axisRow" showAll="0">
      <items count="5">
        <item x="1"/>
        <item x="0"/>
        <item x="3"/>
        <item x="2"/>
        <item t="default"/>
      </items>
    </pivotField>
    <pivotField axis="axisRow" showAll="0">
      <items count="5">
        <item x="3"/>
        <item x="1"/>
        <item sd="0" x="0"/>
        <item x="2"/>
        <item t="default"/>
      </items>
    </pivotField>
    <pivotField dataField="1" numFmtId="165" showAll="0"/>
    <pivotField dataField="1" numFmtId="165" showAll="0"/>
    <pivotField showAll="0"/>
  </pivotFields>
  <rowFields count="2">
    <field x="1"/>
    <field x="0"/>
  </rowFields>
  <rowItems count="8">
    <i>
      <x/>
    </i>
    <i r="1">
      <x v="2"/>
    </i>
    <i>
      <x v="1"/>
    </i>
    <i r="1">
      <x/>
    </i>
    <i>
      <x v="2"/>
    </i>
    <i>
      <x v="3"/>
    </i>
    <i r="1">
      <x v="3"/>
    </i>
    <i t="grand">
      <x/>
    </i>
  </rowItems>
  <colFields count="1">
    <field x="-2"/>
  </colFields>
  <colItems count="2">
    <i>
      <x/>
    </i>
    <i i="1">
      <x v="1"/>
    </i>
  </colItems>
  <dataFields count="2">
    <dataField name="Sum of Target Revenue" fld="3" baseField="0" baseItem="0"/>
    <dataField name="Sum of Total revenue" fld="2" baseField="0" baseItem="0"/>
  </dataFields>
  <formats count="4">
    <format dxfId="4">
      <pivotArea field="1" type="button" dataOnly="0" labelOnly="1" outline="0" axis="axisRow" fieldPosition="0"/>
    </format>
    <format dxfId="3">
      <pivotArea dataOnly="0" labelOnly="1" outline="0" fieldPosition="0">
        <references count="1">
          <reference field="4294967294" count="2">
            <x v="0"/>
            <x v="1"/>
          </reference>
        </references>
      </pivotArea>
    </format>
    <format dxfId="2">
      <pivotArea field="1" type="button" dataOnly="0" labelOnly="1" outline="0" axis="axisRow" fieldPosition="0"/>
    </format>
    <format dxfId="1">
      <pivotArea dataOnly="0" labelOnly="1" outline="0" fieldPosition="0">
        <references count="1">
          <reference field="4294967294" count="2">
            <x v="0"/>
            <x v="1"/>
          </reference>
        </references>
      </pivotArea>
    </format>
  </formats>
  <chartFormats count="3">
    <chartFormat chart="0" format="3"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0" format="6">
      <pivotArea type="data" outline="0" fieldPosition="0">
        <references count="3">
          <reference field="4294967294" count="1" selected="0">
            <x v="0"/>
          </reference>
          <reference field="0" count="1" selected="0">
            <x v="3"/>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1" name="PivotTable2"/>
  </pivotTables>
  <data>
    <tabular pivotCacheId="831974893">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2000000}"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6:F8" totalsRowShown="0" headerRowDxfId="11">
  <autoFilter ref="A6:F8" xr:uid="{00000000-0009-0000-0100-000001000000}"/>
  <tableColumns count="6">
    <tableColumn id="1" xr3:uid="{00000000-0010-0000-0000-000001000000}" name="sale month" dataDxfId="10"/>
    <tableColumn id="2" xr3:uid="{00000000-0010-0000-0000-000002000000}" name="Total uints sold"/>
    <tableColumn id="3" xr3:uid="{00000000-0010-0000-0000-000003000000}" name="gross revenue"/>
    <tableColumn id="4" xr3:uid="{00000000-0010-0000-0000-000004000000}" name="gross profit"/>
    <tableColumn id="5" xr3:uid="{00000000-0010-0000-0000-000005000000}" name="Profit Margin %" dataDxfId="9"/>
    <tableColumn id="6" xr3:uid="{00000000-0010-0000-0000-000006000000}"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H6:K11" totalsRowShown="0" headerRowDxfId="8">
  <autoFilter ref="H6:K11" xr:uid="{00000000-0009-0000-0100-000002000000}"/>
  <tableColumns count="4">
    <tableColumn id="1" xr3:uid="{00000000-0010-0000-0100-000001000000}" name="product id"/>
    <tableColumn id="2" xr3:uid="{00000000-0010-0000-0100-000002000000}" name="product name"/>
    <tableColumn id="3" xr3:uid="{00000000-0010-0000-0100-000003000000}" name="category"/>
    <tableColumn id="4" xr3:uid="{00000000-0010-0000-0100-000004000000}" name="total unit sold in 30day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M6:Q10" totalsRowShown="0" headerRowDxfId="7">
  <autoFilter ref="M6:Q10" xr:uid="{00000000-0009-0000-0100-000003000000}"/>
  <tableColumns count="5">
    <tableColumn id="1" xr3:uid="{00000000-0010-0000-0200-000001000000}" name="store name"/>
    <tableColumn id="2" xr3:uid="{00000000-0010-0000-0200-000002000000}" name="region"/>
    <tableColumn id="3" xr3:uid="{00000000-0010-0000-0200-000003000000}" name="Total revenue" dataDxfId="6"/>
    <tableColumn id="4" xr3:uid="{00000000-0010-0000-0200-000004000000}" name="Target Revenue" dataDxfId="5"/>
    <tableColumn id="5" xr3:uid="{00000000-0010-0000-0200-000005000000}" name="Target Varia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7" Type="http://schemas.microsoft.com/office/2007/relationships/slicer" Target="../slicers/slicer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0"/>
  <sheetViews>
    <sheetView showGridLines="0" tabSelected="1" workbookViewId="0">
      <selection activeCell="K26" sqref="K26"/>
    </sheetView>
  </sheetViews>
  <sheetFormatPr defaultRowHeight="14.4" x14ac:dyDescent="0.3"/>
  <cols>
    <col min="1" max="1" width="12.21875" customWidth="1"/>
    <col min="2" max="2" width="15.5546875" customWidth="1"/>
    <col min="3" max="3" width="14.5546875" customWidth="1"/>
    <col min="4" max="4" width="12.33203125" customWidth="1"/>
    <col min="5" max="5" width="15.44140625" customWidth="1"/>
    <col min="6" max="6" width="6.109375" customWidth="1"/>
    <col min="7" max="7" width="2.33203125" customWidth="1"/>
    <col min="8" max="8" width="18.6640625" bestFit="1" customWidth="1"/>
    <col min="9" max="9" width="18.88671875" customWidth="1"/>
    <col min="10" max="10" width="10.21875" customWidth="1"/>
    <col min="11" max="11" width="16" customWidth="1"/>
    <col min="12" max="12" width="2.21875" customWidth="1"/>
    <col min="13" max="13" width="16.21875" bestFit="1" customWidth="1"/>
    <col min="14" max="14" width="20.77734375" bestFit="1" customWidth="1"/>
    <col min="15" max="15" width="19.21875" bestFit="1" customWidth="1"/>
    <col min="16" max="16" width="13.5546875" customWidth="1"/>
    <col min="17" max="17" width="11.33203125" customWidth="1"/>
  </cols>
  <sheetData>
    <row r="1" spans="1:17" ht="24" customHeight="1" x14ac:dyDescent="0.45">
      <c r="A1" s="8" t="s">
        <v>40</v>
      </c>
      <c r="B1" s="8"/>
      <c r="C1" s="8"/>
      <c r="D1" s="8"/>
      <c r="E1" s="8"/>
      <c r="F1" s="8"/>
      <c r="G1" s="8"/>
      <c r="H1" s="8"/>
      <c r="I1" s="8"/>
      <c r="J1" s="8"/>
      <c r="K1" s="8"/>
      <c r="L1" s="8"/>
      <c r="M1" s="8"/>
      <c r="N1" s="8"/>
      <c r="O1" s="8"/>
      <c r="P1" s="8"/>
      <c r="Q1" s="8"/>
    </row>
    <row r="3" spans="1:17" x14ac:dyDescent="0.3">
      <c r="B3" s="9" t="s">
        <v>30</v>
      </c>
      <c r="C3" s="10"/>
      <c r="E3" s="9" t="s">
        <v>32</v>
      </c>
      <c r="F3" s="10"/>
      <c r="I3" s="9" t="s">
        <v>35</v>
      </c>
      <c r="J3" s="10"/>
      <c r="M3" s="9" t="s">
        <v>36</v>
      </c>
      <c r="N3" s="10"/>
    </row>
    <row r="4" spans="1:17" x14ac:dyDescent="0.3">
      <c r="B4" s="11">
        <f>SUM(C7:C8)</f>
        <v>664200</v>
      </c>
      <c r="C4" s="11"/>
      <c r="E4" s="11">
        <f>SUM(Table1[gross profit])</f>
        <v>216200</v>
      </c>
      <c r="F4" s="11"/>
      <c r="I4" s="12">
        <f>AVERAGE(Table1[Profit Margin %])</f>
        <v>0.32500000000000001</v>
      </c>
      <c r="J4" s="12"/>
      <c r="M4" s="13">
        <f>COUNTIF(Table2[total unit sold in 30days],0)</f>
        <v>5</v>
      </c>
      <c r="N4" s="13"/>
    </row>
    <row r="6" spans="1:17" x14ac:dyDescent="0.3">
      <c r="A6" s="3" t="s">
        <v>0</v>
      </c>
      <c r="B6" s="3" t="s">
        <v>1</v>
      </c>
      <c r="C6" s="3" t="s">
        <v>2</v>
      </c>
      <c r="D6" s="3" t="s">
        <v>3</v>
      </c>
      <c r="E6" s="3" t="s">
        <v>4</v>
      </c>
      <c r="F6" s="3" t="s">
        <v>5</v>
      </c>
      <c r="H6" s="3" t="s">
        <v>6</v>
      </c>
      <c r="I6" s="3" t="s">
        <v>7</v>
      </c>
      <c r="J6" s="3" t="s">
        <v>8</v>
      </c>
      <c r="K6" s="3" t="s">
        <v>9</v>
      </c>
      <c r="M6" s="3" t="s">
        <v>10</v>
      </c>
      <c r="N6" s="3" t="s">
        <v>11</v>
      </c>
      <c r="O6" s="3" t="s">
        <v>12</v>
      </c>
      <c r="P6" s="3" t="s">
        <v>13</v>
      </c>
      <c r="Q6" s="3" t="s">
        <v>14</v>
      </c>
    </row>
    <row r="7" spans="1:17" x14ac:dyDescent="0.3">
      <c r="A7" s="1">
        <v>46048</v>
      </c>
      <c r="B7">
        <v>33</v>
      </c>
      <c r="C7">
        <v>338500</v>
      </c>
      <c r="D7">
        <v>105500</v>
      </c>
      <c r="E7" s="2">
        <v>0.31</v>
      </c>
      <c r="F7" t="s">
        <v>15</v>
      </c>
      <c r="H7">
        <v>1</v>
      </c>
      <c r="I7" t="s">
        <v>16</v>
      </c>
      <c r="J7" t="s">
        <v>17</v>
      </c>
      <c r="K7">
        <v>0</v>
      </c>
      <c r="M7" t="s">
        <v>18</v>
      </c>
      <c r="N7" t="s">
        <v>19</v>
      </c>
      <c r="O7" s="4">
        <v>262700</v>
      </c>
      <c r="P7" s="4">
        <v>250000</v>
      </c>
      <c r="Q7">
        <v>12700</v>
      </c>
    </row>
    <row r="8" spans="1:17" x14ac:dyDescent="0.3">
      <c r="A8" s="1">
        <v>46079</v>
      </c>
      <c r="B8">
        <v>47</v>
      </c>
      <c r="C8">
        <v>325700</v>
      </c>
      <c r="D8">
        <v>110700</v>
      </c>
      <c r="E8" s="2">
        <v>0.34</v>
      </c>
      <c r="F8" t="s">
        <v>15</v>
      </c>
      <c r="H8">
        <v>2</v>
      </c>
      <c r="I8" t="s">
        <v>20</v>
      </c>
      <c r="J8" t="s">
        <v>17</v>
      </c>
      <c r="K8">
        <v>0</v>
      </c>
      <c r="M8" t="s">
        <v>21</v>
      </c>
      <c r="N8" t="s">
        <v>22</v>
      </c>
      <c r="O8" s="4">
        <v>215500</v>
      </c>
      <c r="P8" s="4">
        <v>250000</v>
      </c>
      <c r="Q8">
        <v>-34500</v>
      </c>
    </row>
    <row r="9" spans="1:17" x14ac:dyDescent="0.3">
      <c r="H9">
        <v>3</v>
      </c>
      <c r="I9" t="s">
        <v>23</v>
      </c>
      <c r="J9" t="s">
        <v>24</v>
      </c>
      <c r="K9">
        <v>0</v>
      </c>
      <c r="M9" t="s">
        <v>25</v>
      </c>
      <c r="N9" t="s">
        <v>26</v>
      </c>
      <c r="O9" s="4">
        <v>146000</v>
      </c>
      <c r="P9" s="4">
        <v>250000</v>
      </c>
      <c r="Q9">
        <v>-104000</v>
      </c>
    </row>
    <row r="10" spans="1:17" x14ac:dyDescent="0.3">
      <c r="H10">
        <v>4</v>
      </c>
      <c r="I10" t="s">
        <v>27</v>
      </c>
      <c r="J10" t="s">
        <v>17</v>
      </c>
      <c r="K10">
        <v>0</v>
      </c>
      <c r="M10" t="s">
        <v>28</v>
      </c>
      <c r="N10" t="s">
        <v>29</v>
      </c>
      <c r="O10" s="4">
        <v>40000</v>
      </c>
      <c r="P10" s="4">
        <v>250000</v>
      </c>
      <c r="Q10">
        <v>-210000</v>
      </c>
    </row>
    <row r="11" spans="1:17" x14ac:dyDescent="0.3">
      <c r="H11">
        <v>5</v>
      </c>
      <c r="I11" t="s">
        <v>31</v>
      </c>
      <c r="J11" t="s">
        <v>24</v>
      </c>
      <c r="K11">
        <v>0</v>
      </c>
    </row>
    <row r="12" spans="1:17" x14ac:dyDescent="0.3">
      <c r="M12" s="14" t="s">
        <v>33</v>
      </c>
      <c r="N12" s="14" t="s">
        <v>41</v>
      </c>
      <c r="O12" s="14" t="s">
        <v>34</v>
      </c>
    </row>
    <row r="13" spans="1:17" x14ac:dyDescent="0.3">
      <c r="M13" s="5" t="s">
        <v>29</v>
      </c>
      <c r="N13" s="6">
        <v>250000</v>
      </c>
      <c r="O13" s="6">
        <v>40000</v>
      </c>
    </row>
    <row r="14" spans="1:17" x14ac:dyDescent="0.3">
      <c r="M14" s="7" t="s">
        <v>28</v>
      </c>
      <c r="N14" s="6">
        <v>250000</v>
      </c>
      <c r="O14" s="6">
        <v>40000</v>
      </c>
    </row>
    <row r="15" spans="1:17" x14ac:dyDescent="0.3">
      <c r="M15" s="5" t="s">
        <v>22</v>
      </c>
      <c r="N15" s="6">
        <v>250000</v>
      </c>
      <c r="O15" s="6">
        <v>215500</v>
      </c>
    </row>
    <row r="16" spans="1:17" x14ac:dyDescent="0.3">
      <c r="M16" s="7" t="s">
        <v>21</v>
      </c>
      <c r="N16" s="6">
        <v>250000</v>
      </c>
      <c r="O16" s="6">
        <v>215500</v>
      </c>
    </row>
    <row r="17" spans="1:15" x14ac:dyDescent="0.3">
      <c r="M17" s="5" t="s">
        <v>19</v>
      </c>
      <c r="N17" s="6">
        <v>250000</v>
      </c>
      <c r="O17" s="6">
        <v>262700</v>
      </c>
    </row>
    <row r="18" spans="1:15" x14ac:dyDescent="0.3">
      <c r="M18" s="5" t="s">
        <v>26</v>
      </c>
      <c r="N18" s="6">
        <v>250000</v>
      </c>
      <c r="O18" s="6">
        <v>146000</v>
      </c>
    </row>
    <row r="19" spans="1:15" x14ac:dyDescent="0.3">
      <c r="M19" s="7" t="s">
        <v>25</v>
      </c>
      <c r="N19" s="6">
        <v>250000</v>
      </c>
      <c r="O19" s="6">
        <v>146000</v>
      </c>
    </row>
    <row r="20" spans="1:15" x14ac:dyDescent="0.3">
      <c r="M20" s="5" t="s">
        <v>37</v>
      </c>
      <c r="N20" s="6">
        <v>1000000</v>
      </c>
      <c r="O20" s="6">
        <v>664200</v>
      </c>
    </row>
    <row r="26" spans="1:15" x14ac:dyDescent="0.3">
      <c r="K26" t="s">
        <v>38</v>
      </c>
    </row>
    <row r="30" spans="1:15" x14ac:dyDescent="0.3">
      <c r="A30" t="s">
        <v>39</v>
      </c>
    </row>
  </sheetData>
  <mergeCells count="9">
    <mergeCell ref="A1:Q1"/>
    <mergeCell ref="B3:C3"/>
    <mergeCell ref="B4:C4"/>
    <mergeCell ref="E3:F3"/>
    <mergeCell ref="E4:F4"/>
    <mergeCell ref="I3:J3"/>
    <mergeCell ref="I4:J4"/>
    <mergeCell ref="M3:N3"/>
    <mergeCell ref="M4:N4"/>
  </mergeCells>
  <conditionalFormatting sqref="K7:K11">
    <cfRule type="cellIs" dxfId="0" priority="1" operator="equal">
      <formula>0</formula>
    </cfRule>
  </conditionalFormatting>
  <pageMargins left="0.7" right="0.7" top="0.75" bottom="0.75" header="0.3" footer="0.3"/>
  <pageSetup orientation="portrait" r:id="rId2"/>
  <drawing r:id="rId3"/>
  <tableParts count="3">
    <tablePart r:id="rId4"/>
    <tablePart r:id="rId5"/>
    <tablePart r:id="rId6"/>
  </tableParts>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prafull shrivas</dc:creator>
  <cp:lastModifiedBy>prafull</cp:lastModifiedBy>
  <dcterms:created xsi:type="dcterms:W3CDTF">2026-09-11T08:23:24Z</dcterms:created>
  <dcterms:modified xsi:type="dcterms:W3CDTF">2026-09-12T08:10:55Z</dcterms:modified>
</cp:coreProperties>
</file>